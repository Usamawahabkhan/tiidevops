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aining\DEVOPS LEADERS\Used_dataset___document\Used dataset &amp; document\"/>
    </mc:Choice>
  </mc:AlternateContent>
  <xr:revisionPtr revIDLastSave="0" documentId="13_ncr:1_{618C80FA-EF62-4162-B205-24EAD562888E}" xr6:coauthVersionLast="47" xr6:coauthVersionMax="47" xr10:uidLastSave="{00000000-0000-0000-0000-000000000000}"/>
  <bookViews>
    <workbookView xWindow="12390" yWindow="-90" windowWidth="19380" windowHeight="10980" xr2:uid="{00000000-000D-0000-FFFF-FFFF00000000}"/>
  </bookViews>
  <sheets>
    <sheet name="Value Stre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E13" i="1"/>
  <c r="D13" i="1"/>
  <c r="G19" i="1"/>
  <c r="F17" i="1"/>
  <c r="F16" i="1"/>
  <c r="E11" i="1"/>
  <c r="B10" i="1"/>
  <c r="G20" i="1" l="1"/>
</calcChain>
</file>

<file path=xl/sharedStrings.xml><?xml version="1.0" encoding="utf-8"?>
<sst xmlns="http://schemas.openxmlformats.org/spreadsheetml/2006/main" count="29" uniqueCount="29">
  <si>
    <t>Stage</t>
  </si>
  <si>
    <t>Processing Time (hrs)</t>
  </si>
  <si>
    <t>Wait Time (hrs)</t>
  </si>
  <si>
    <t>Rework %</t>
  </si>
  <si>
    <t>Owner</t>
  </si>
  <si>
    <t>Requirements</t>
  </si>
  <si>
    <t>Business Analyst</t>
  </si>
  <si>
    <t>Development</t>
  </si>
  <si>
    <t>Developer</t>
  </si>
  <si>
    <t>Code Review</t>
  </si>
  <si>
    <t>Senior Developer</t>
  </si>
  <si>
    <t>Build</t>
  </si>
  <si>
    <t>CI System</t>
  </si>
  <si>
    <t>Testing</t>
  </si>
  <si>
    <t>QA Team</t>
  </si>
  <si>
    <t>Deployment</t>
  </si>
  <si>
    <t>Operations</t>
  </si>
  <si>
    <t>Production Validation</t>
  </si>
  <si>
    <t>Support Team</t>
  </si>
  <si>
    <t xml:space="preserve">Total Lead Time </t>
  </si>
  <si>
    <t>Total Rework</t>
  </si>
  <si>
    <t>VAT</t>
  </si>
  <si>
    <t>Value added time</t>
  </si>
  <si>
    <t>NVAT</t>
  </si>
  <si>
    <t>None Value added time</t>
  </si>
  <si>
    <t>cost</t>
  </si>
  <si>
    <t>per hour</t>
  </si>
  <si>
    <t>per week</t>
  </si>
  <si>
    <t>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</si>
</sst>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C2" sqref="C2:C7"/>
    </sheetView>
  </sheetViews>
  <sheetFormatPr defaultRowHeight="14.5" x14ac:dyDescent="0.35"/>
  <cols>
    <col min="1" max="1" width="22.453125" customWidth="1"/>
    <col min="2" max="2" width="19.1796875" customWidth="1"/>
    <col min="3" max="4" width="17.54296875" customWidth="1"/>
    <col min="5" max="5" width="15.26953125" customWidth="1"/>
    <col min="6" max="6" width="19" customWidth="1"/>
    <col min="7" max="7" width="11.81640625" bestFit="1" customWidth="1"/>
    <col min="9" max="9" width="26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25</v>
      </c>
      <c r="E1" s="1" t="s">
        <v>3</v>
      </c>
      <c r="F1" s="1" t="s">
        <v>4</v>
      </c>
    </row>
    <row r="2" spans="1:6" x14ac:dyDescent="0.35">
      <c r="A2" t="s">
        <v>5</v>
      </c>
      <c r="B2">
        <v>4</v>
      </c>
      <c r="C2">
        <v>8</v>
      </c>
      <c r="D2">
        <v>199</v>
      </c>
      <c r="E2">
        <v>2</v>
      </c>
      <c r="F2" t="s">
        <v>6</v>
      </c>
    </row>
    <row r="3" spans="1:6" x14ac:dyDescent="0.35">
      <c r="A3" t="s">
        <v>7</v>
      </c>
      <c r="B3">
        <v>16</v>
      </c>
      <c r="C3">
        <v>12</v>
      </c>
      <c r="D3">
        <v>129</v>
      </c>
      <c r="E3">
        <v>5</v>
      </c>
      <c r="F3" t="s">
        <v>8</v>
      </c>
    </row>
    <row r="4" spans="1:6" x14ac:dyDescent="0.35">
      <c r="A4" t="s">
        <v>9</v>
      </c>
      <c r="B4">
        <v>4</v>
      </c>
      <c r="C4">
        <v>10</v>
      </c>
      <c r="D4">
        <v>4888</v>
      </c>
      <c r="E4">
        <v>8</v>
      </c>
      <c r="F4" t="s">
        <v>10</v>
      </c>
    </row>
    <row r="5" spans="1:6" x14ac:dyDescent="0.35">
      <c r="A5" t="s">
        <v>11</v>
      </c>
      <c r="B5">
        <v>1</v>
      </c>
      <c r="C5">
        <v>2</v>
      </c>
      <c r="D5">
        <v>382</v>
      </c>
      <c r="E5">
        <v>1</v>
      </c>
      <c r="F5" t="s">
        <v>12</v>
      </c>
    </row>
    <row r="6" spans="1:6" x14ac:dyDescent="0.35">
      <c r="A6" t="s">
        <v>13</v>
      </c>
      <c r="B6">
        <v>12</v>
      </c>
      <c r="C6">
        <v>24</v>
      </c>
      <c r="D6">
        <v>2828</v>
      </c>
      <c r="E6">
        <v>10</v>
      </c>
      <c r="F6" t="s">
        <v>14</v>
      </c>
    </row>
    <row r="7" spans="1:6" x14ac:dyDescent="0.35">
      <c r="A7" t="s">
        <v>15</v>
      </c>
      <c r="B7">
        <v>2</v>
      </c>
      <c r="C7">
        <v>8</v>
      </c>
      <c r="D7">
        <v>3833</v>
      </c>
      <c r="E7">
        <v>2</v>
      </c>
      <c r="F7" t="s">
        <v>16</v>
      </c>
    </row>
    <row r="8" spans="1:6" x14ac:dyDescent="0.35">
      <c r="A8" t="s">
        <v>17</v>
      </c>
      <c r="B8">
        <v>3</v>
      </c>
      <c r="C8">
        <v>4</v>
      </c>
      <c r="D8">
        <v>222</v>
      </c>
      <c r="E8">
        <v>1</v>
      </c>
      <c r="F8" t="s">
        <v>18</v>
      </c>
    </row>
    <row r="10" spans="1:6" x14ac:dyDescent="0.35">
      <c r="A10" t="s">
        <v>19</v>
      </c>
      <c r="B10">
        <f>SUM(B2:B8)+SUM(C2:C8)</f>
        <v>110</v>
      </c>
    </row>
    <row r="11" spans="1:6" x14ac:dyDescent="0.35">
      <c r="A11" t="s">
        <v>20</v>
      </c>
      <c r="E11">
        <f>SUM(E2:E8)</f>
        <v>29</v>
      </c>
    </row>
    <row r="12" spans="1:6" x14ac:dyDescent="0.35">
      <c r="D12" t="s">
        <v>26</v>
      </c>
      <c r="E12" t="s">
        <v>28</v>
      </c>
      <c r="F12" t="s">
        <v>27</v>
      </c>
    </row>
    <row r="13" spans="1:6" x14ac:dyDescent="0.35">
      <c r="D13">
        <f>1/B10</f>
        <v>9.0909090909090905E-3</v>
      </c>
      <c r="E13">
        <f>24*D13</f>
        <v>0.21818181818181817</v>
      </c>
      <c r="F13">
        <f>E13*5</f>
        <v>1.0909090909090908</v>
      </c>
    </row>
    <row r="16" spans="1:6" x14ac:dyDescent="0.35">
      <c r="C16" t="s">
        <v>21</v>
      </c>
      <c r="E16" t="s">
        <v>22</v>
      </c>
      <c r="F16">
        <f>SUM(B2:B8)</f>
        <v>42</v>
      </c>
    </row>
    <row r="17" spans="3:7" x14ac:dyDescent="0.35">
      <c r="C17" t="s">
        <v>23</v>
      </c>
      <c r="E17" t="s">
        <v>24</v>
      </c>
      <c r="F17">
        <f>SUM(C2:C8)</f>
        <v>68</v>
      </c>
    </row>
    <row r="19" spans="3:7" x14ac:dyDescent="0.35">
      <c r="G19">
        <f>(F16+F17)</f>
        <v>110</v>
      </c>
    </row>
    <row r="20" spans="3:7" x14ac:dyDescent="0.35">
      <c r="G20">
        <f>G19/F16</f>
        <v>2.6190476190476191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 Stream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usama khan</cp:lastModifiedBy>
  <dcterms:created xsi:type="dcterms:W3CDTF">2026-06-08T07:04:20Z</dcterms:created>
  <dcterms:modified xsi:type="dcterms:W3CDTF">2026-06-18T08:30:31Z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2026-06-18T08:30:31Z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2bd5ff95-fd97-46ed-9013-540fb84c6bee</vt:lpwstr>
  </property>
  <property fmtid="{D5CDD505-2E9C-101B-9397-08002B2CF9AE}" pid="7" name="MSIP_Label_defa4170-0d19-0005-0004-bc88714345d2_ActionId">
    <vt:lpwstr>8597e979-bffd-49c2-addd-0b3b0901dca3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